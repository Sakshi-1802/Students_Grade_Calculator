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10c8b3e979c30d6/Desktop/DA Notes/Students_Grade_Calculator/"/>
    </mc:Choice>
  </mc:AlternateContent>
  <xr:revisionPtr revIDLastSave="88" documentId="11_F25DC773A252ABDACC1048C2315D4F945BDE58EC" xr6:coauthVersionLast="47" xr6:coauthVersionMax="47" xr10:uidLastSave="{9BA22CF3-91AB-4CEC-B67F-A6046F28526D}"/>
  <bookViews>
    <workbookView xWindow="-108" yWindow="-108" windowWidth="23256" windowHeight="12456" activeTab="2" xr2:uid="{00000000-000D-0000-FFFF-FFFF00000000}"/>
  </bookViews>
  <sheets>
    <sheet name="Student Data" sheetId="1" r:id="rId1"/>
    <sheet name="Student Search" sheetId="2" r:id="rId2"/>
    <sheet name="Student Dashboard" sheetId="3" r:id="rId3"/>
  </sheets>
  <externalReferences>
    <externalReference r:id="rId4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3" l="1"/>
  <c r="B30" i="3"/>
  <c r="B29" i="3"/>
  <c r="B28" i="3"/>
  <c r="B27" i="3"/>
  <c r="C23" i="3"/>
  <c r="B23" i="3"/>
  <c r="C22" i="3"/>
  <c r="B22" i="3"/>
  <c r="C21" i="3"/>
  <c r="B21" i="3"/>
  <c r="B18" i="3"/>
  <c r="B17" i="3"/>
  <c r="B16" i="3"/>
  <c r="B15" i="3"/>
  <c r="B14" i="3"/>
  <c r="B13" i="3"/>
  <c r="B10" i="3"/>
  <c r="B9" i="3"/>
  <c r="B8" i="3"/>
  <c r="B7" i="3"/>
  <c r="B6" i="3"/>
  <c r="B5" i="3"/>
  <c r="B4" i="3"/>
  <c r="B15" i="2"/>
  <c r="B14" i="2"/>
  <c r="B13" i="2"/>
  <c r="B12" i="2"/>
  <c r="B11" i="2"/>
  <c r="B10" i="2"/>
  <c r="B9" i="2"/>
  <c r="B8" i="2"/>
  <c r="B7" i="2"/>
  <c r="B6" i="2"/>
  <c r="B5" i="2"/>
  <c r="J3" i="1" l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4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</calcChain>
</file>

<file path=xl/sharedStrings.xml><?xml version="1.0" encoding="utf-8"?>
<sst xmlns="http://schemas.openxmlformats.org/spreadsheetml/2006/main" count="72" uniqueCount="59">
  <si>
    <t>STUDENT GRADE CALCULATOR - CLASS X (2025-2026)</t>
  </si>
  <si>
    <t>Student Name</t>
  </si>
  <si>
    <t>Roll No</t>
  </si>
  <si>
    <t>Maths</t>
  </si>
  <si>
    <t>Science</t>
  </si>
  <si>
    <t>English</t>
  </si>
  <si>
    <t>Hindi</t>
  </si>
  <si>
    <t>Computer</t>
  </si>
  <si>
    <t>Total Marks</t>
  </si>
  <si>
    <t>Percentage</t>
  </si>
  <si>
    <t>Grade</t>
  </si>
  <si>
    <t>Pass/Fail</t>
  </si>
  <si>
    <t>Rank</t>
  </si>
  <si>
    <t>Aarav Sharma</t>
  </si>
  <si>
    <t>Priya Patel</t>
  </si>
  <si>
    <t>Rohit Kumar</t>
  </si>
  <si>
    <t>Sneha Gupta</t>
  </si>
  <si>
    <t>Arjun Singh</t>
  </si>
  <si>
    <t>Divya Nair</t>
  </si>
  <si>
    <t>Karan Mehta</t>
  </si>
  <si>
    <t>Ananya Joshi</t>
  </si>
  <si>
    <t>Vikram Rao</t>
  </si>
  <si>
    <t>Pooja Iyer</t>
  </si>
  <si>
    <t>Siddharth Das</t>
  </si>
  <si>
    <t>Meera Pillai</t>
  </si>
  <si>
    <t>Aditya Bose</t>
  </si>
  <si>
    <t>Nisha Verma</t>
  </si>
  <si>
    <t>Ravi Tiwari</t>
  </si>
  <si>
    <t>Kavya Reddy</t>
  </si>
  <si>
    <t>Harsh Mishra</t>
  </si>
  <si>
    <t>Tanvi Shah</t>
  </si>
  <si>
    <t>Gaurav Pandey</t>
  </si>
  <si>
    <t>Ishita Chauhan</t>
  </si>
  <si>
    <t>🔍  STUDENT REPORT CARD LOOKUP</t>
  </si>
  <si>
    <t>Enter Roll Number:</t>
  </si>
  <si>
    <t>Mathematics</t>
  </si>
  <si>
    <t>Status</t>
  </si>
  <si>
    <t>Class Rank</t>
  </si>
  <si>
    <t>📊  CLASS PERFORMANCE DASHBOARD</t>
  </si>
  <si>
    <t>CLASS STATISTICS</t>
  </si>
  <si>
    <t>Class Average (%)</t>
  </si>
  <si>
    <t>Highest Score (/500)</t>
  </si>
  <si>
    <t>Lowest Score (/500)</t>
  </si>
  <si>
    <t>Total Students</t>
  </si>
  <si>
    <t>Total PASS</t>
  </si>
  <si>
    <t>Total FAIL</t>
  </si>
  <si>
    <t>Pass Rate (%)</t>
  </si>
  <si>
    <t>GRADE DISTRIBUTION</t>
  </si>
  <si>
    <t>Grade A+</t>
  </si>
  <si>
    <t>Grade A</t>
  </si>
  <si>
    <t>Grade B</t>
  </si>
  <si>
    <t>Grade C</t>
  </si>
  <si>
    <t>Grade D</t>
  </si>
  <si>
    <t>Grade F</t>
  </si>
  <si>
    <t>🏆  TOP 3 STUDENTS</t>
  </si>
  <si>
    <t>🥇 1st Place</t>
  </si>
  <si>
    <t>🥈 2nd Place</t>
  </si>
  <si>
    <t>🥉 3rd Place</t>
  </si>
  <si>
    <t>SUBJECT-WISE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</si>
</sst>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rgb="FFFFFFFF"/>
      <name val="Arial"/>
      <charset val="1"/>
    </font>
    <font>
      <b/>
      <sz val="11"/>
      <name val="Arial"/>
      <charset val="1"/>
    </font>
    <font>
      <b/>
      <sz val="12"/>
      <color rgb="FF8B000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1A527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0F0F0"/>
      </patternFill>
    </fill>
    <fill>
      <patternFill patternType="solid">
        <fgColor rgb="FF1F3864"/>
        <bgColor rgb="FF1A5276"/>
      </patternFill>
    </fill>
    <fill>
      <patternFill patternType="solid">
        <fgColor rgb="FFFFF9C4"/>
        <bgColor rgb="FFFFF3CD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FFF3CD"/>
        <bgColor rgb="FFFFF9C4"/>
      </patternFill>
    </fill>
    <fill>
      <patternFill patternType="solid">
        <fgColor rgb="FFF0F0F0"/>
        <bgColor rgb="FFF2F2F2"/>
      </patternFill>
    </fill>
    <fill>
      <patternFill patternType="solid">
        <fgColor rgb="FFFDE8D8"/>
        <bgColor rgb="FFFDEDE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6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rgb="FF009900"/>
        </patternFill>
      </fill>
    </dxf>
    <dxf>
      <fill>
        <patternFill>
          <bgColor rgb="FF33CC33"/>
        </patternFill>
      </fill>
    </dxf>
    <dxf>
      <fill>
        <patternFill>
          <bgColor rgb="FF66FF66"/>
        </patternFill>
      </fill>
    </dxf>
    <dxf>
      <fill>
        <patternFill>
          <bgColor rgb="FFFFCC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0F0F0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ill>
        <patternFill patternType="solid">
          <fgColor rgb="FFF0F0F0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0F0F0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0F0F0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0F0F0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0F0F0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rgb="FFF0F0F0"/>
          <bgColor rgb="FFF2F2F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66"/>
      <color rgb="FFFFCC00"/>
      <color rgb="FF66FF66"/>
      <color rgb="FF33CC33"/>
      <color rgb="FF009900"/>
      <color rgb="FF006600"/>
      <color rgb="FF008000"/>
      <color rgb="FFB02C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Student Percentages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'[1]Student Data'!$I$2</c:f>
              <c:strCache>
                <c:ptCount val="1"/>
                <c:pt idx="0">
                  <c:v>Percentage
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'[1]Student Data'!$A$3:$A$22</c:f>
              <c:strCache>
                <c:ptCount val="20"/>
                <c:pt idx="0">
                  <c:v>Aarav Sharma</c:v>
                </c:pt>
                <c:pt idx="1">
                  <c:v>Priya Patel</c:v>
                </c:pt>
                <c:pt idx="2">
                  <c:v>Rohit Kumar</c:v>
                </c:pt>
                <c:pt idx="3">
                  <c:v>Sneha Gupta</c:v>
                </c:pt>
                <c:pt idx="4">
                  <c:v>Arjun Singh</c:v>
                </c:pt>
                <c:pt idx="5">
                  <c:v>Divya Nair</c:v>
                </c:pt>
                <c:pt idx="6">
                  <c:v>Karan Mehta</c:v>
                </c:pt>
                <c:pt idx="7">
                  <c:v>Ananya Joshi</c:v>
                </c:pt>
                <c:pt idx="8">
                  <c:v>Vikram Rao</c:v>
                </c:pt>
                <c:pt idx="9">
                  <c:v>Pooja Iyer</c:v>
                </c:pt>
                <c:pt idx="10">
                  <c:v>Siddharth Das</c:v>
                </c:pt>
                <c:pt idx="11">
                  <c:v>Meera Pillai</c:v>
                </c:pt>
                <c:pt idx="12">
                  <c:v>Aditya Bose</c:v>
                </c:pt>
                <c:pt idx="13">
                  <c:v>Nisha Verma</c:v>
                </c:pt>
                <c:pt idx="14">
                  <c:v>Ravi Tiwari</c:v>
                </c:pt>
                <c:pt idx="15">
                  <c:v>Kavya Reddy</c:v>
                </c:pt>
                <c:pt idx="16">
                  <c:v>Harsh Mishra</c:v>
                </c:pt>
                <c:pt idx="17">
                  <c:v>Tanvi Shah</c:v>
                </c:pt>
                <c:pt idx="18">
                  <c:v>Gaurav Pandey</c:v>
                </c:pt>
                <c:pt idx="19">
                  <c:v>Ishita Chauhan</c:v>
                </c:pt>
              </c:strCache>
            </c:strRef>
          </c:cat>
          <c:val>
            <c:numRef>
              <c:f>'[1]Student Data'!$I$3:$I$22</c:f>
              <c:numCache>
                <c:formatCode>0.0\%</c:formatCode>
                <c:ptCount val="20"/>
                <c:pt idx="0">
                  <c:v>86.2</c:v>
                </c:pt>
                <c:pt idx="1">
                  <c:v>90.8</c:v>
                </c:pt>
                <c:pt idx="2">
                  <c:v>71</c:v>
                </c:pt>
                <c:pt idx="3">
                  <c:v>57.2</c:v>
                </c:pt>
                <c:pt idx="4">
                  <c:v>96.2</c:v>
                </c:pt>
                <c:pt idx="5">
                  <c:v>48</c:v>
                </c:pt>
                <c:pt idx="6">
                  <c:v>77.599999999999994</c:v>
                </c:pt>
                <c:pt idx="7">
                  <c:v>69.8</c:v>
                </c:pt>
                <c:pt idx="8">
                  <c:v>34.200000000000003</c:v>
                </c:pt>
                <c:pt idx="9">
                  <c:v>89.4</c:v>
                </c:pt>
                <c:pt idx="10">
                  <c:v>78.599999999999994</c:v>
                </c:pt>
                <c:pt idx="11">
                  <c:v>62.4</c:v>
                </c:pt>
                <c:pt idx="12">
                  <c:v>86.2</c:v>
                </c:pt>
                <c:pt idx="13">
                  <c:v>50</c:v>
                </c:pt>
                <c:pt idx="14">
                  <c:v>92.8</c:v>
                </c:pt>
                <c:pt idx="15">
                  <c:v>74</c:v>
                </c:pt>
                <c:pt idx="16">
                  <c:v>40</c:v>
                </c:pt>
                <c:pt idx="17">
                  <c:v>87</c:v>
                </c:pt>
                <c:pt idx="18">
                  <c:v>66</c:v>
                </c:pt>
                <c:pt idx="19">
                  <c:v>81.2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5-4B7A-A937-876887A13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72862"/>
        <c:axId val="66916258"/>
      </c:barChart>
      <c:catAx>
        <c:axId val="16372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16258"/>
        <c:crosses val="autoZero"/>
        <c:auto val="1"/>
        <c:lblAlgn val="ctr"/>
        <c:lblOffset val="100"/>
        <c:noMultiLvlLbl val="0"/>
      </c:catAx>
      <c:valAx>
        <c:axId val="66916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Percentage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72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Grade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B23-4BE7-AE8D-3FF605DF043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2-5B23-4BE7-AE8D-3FF605DF043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4-5B23-4BE7-AE8D-3FF605DF043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6-5B23-4BE7-AE8D-3FF605DF043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8-5B23-4BE7-AE8D-3FF605DF043D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A-5B23-4BE7-AE8D-3FF605DF043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23-4BE7-AE8D-3FF605DF043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23-4BE7-AE8D-3FF605DF043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23-4BE7-AE8D-3FF605DF043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23-4BE7-AE8D-3FF605DF043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23-4BE7-AE8D-3FF605DF043D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23-4BE7-AE8D-3FF605DF04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'[1]Summary Dashboard'!$A$13:$A$18</c:f>
              <c:strCache>
                <c:ptCount val="6"/>
                <c:pt idx="0">
                  <c:v>Grade A+</c:v>
                </c:pt>
                <c:pt idx="1">
                  <c:v>Grade A</c:v>
                </c:pt>
                <c:pt idx="2">
                  <c:v>Grade B</c:v>
                </c:pt>
                <c:pt idx="3">
                  <c:v>Grade C</c:v>
                </c:pt>
                <c:pt idx="4">
                  <c:v>Grade D</c:v>
                </c:pt>
                <c:pt idx="5">
                  <c:v>Grade F</c:v>
                </c:pt>
              </c:strCache>
            </c:strRef>
          </c:cat>
          <c:val>
            <c:numRef>
              <c:f>'[1]Summary Dashboard'!$B$13:$B$18</c:f>
              <c:numCache>
                <c:formatCode>General</c:formatCode>
                <c:ptCount val="6"/>
                <c:pt idx="0">
                  <c:v>3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B23-4BE7-AE8D-3FF605DF0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175260</xdr:colOff>
      <xdr:row>1</xdr:row>
      <xdr:rowOff>137160</xdr:rowOff>
    </xdr:from>
    <xdr:to>
      <xdr:col>18</xdr:col>
      <xdr:colOff>55980</xdr:colOff>
      <xdr:row>28</xdr:row>
      <xdr:rowOff>71160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03A7A-2DAC-4242-9077-F51A8730B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403860</xdr:colOff>
      <xdr:row>29</xdr:row>
      <xdr:rowOff>22860</xdr:rowOff>
    </xdr:from>
    <xdr:to>
      <xdr:col>12</xdr:col>
      <xdr:colOff>429540</xdr:colOff>
      <xdr:row>55</xdr:row>
      <xdr:rowOff>139740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369AC-5916-4335-BA32-800DE7C78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ksh\Downloads\Student_Grade_Calculator.xlsx" TargetMode="External"/><Relationship Id="rId1" Type="http://schemas.openxmlformats.org/officeDocument/2006/relationships/externalLinkPath" Target="file:///C:\Users\saksh\Downloads\Student_Grade_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 Data"/>
      <sheetName val="Student Search"/>
      <sheetName val="Summary Dashboard"/>
      <sheetName val="How to Use"/>
    </sheetNames>
    <sheetDataSet>
      <sheetData sheetId="0">
        <row r="2">
          <cell r="I2" t="str">
            <v>Percentage
(%)</v>
          </cell>
        </row>
        <row r="3">
          <cell r="A3" t="str">
            <v>Aarav Sharma</v>
          </cell>
          <cell r="B3">
            <v>1</v>
          </cell>
          <cell r="C3">
            <v>88</v>
          </cell>
          <cell r="D3">
            <v>92</v>
          </cell>
          <cell r="E3">
            <v>76</v>
          </cell>
          <cell r="F3">
            <v>85</v>
          </cell>
          <cell r="G3">
            <v>90</v>
          </cell>
          <cell r="H3">
            <v>431</v>
          </cell>
          <cell r="I3">
            <v>86.2</v>
          </cell>
          <cell r="J3" t="str">
            <v>A</v>
          </cell>
          <cell r="K3" t="str">
            <v>PASS</v>
          </cell>
          <cell r="L3">
            <v>6</v>
          </cell>
        </row>
        <row r="4">
          <cell r="A4" t="str">
            <v>Priya Patel</v>
          </cell>
          <cell r="B4">
            <v>2</v>
          </cell>
          <cell r="C4">
            <v>95</v>
          </cell>
          <cell r="D4">
            <v>88</v>
          </cell>
          <cell r="E4">
            <v>91</v>
          </cell>
          <cell r="F4">
            <v>87</v>
          </cell>
          <cell r="G4">
            <v>93</v>
          </cell>
          <cell r="H4">
            <v>454</v>
          </cell>
          <cell r="I4">
            <v>90.8</v>
          </cell>
          <cell r="J4" t="str">
            <v>A+</v>
          </cell>
          <cell r="K4" t="str">
            <v>PASS</v>
          </cell>
          <cell r="L4">
            <v>3</v>
          </cell>
        </row>
        <row r="5">
          <cell r="A5" t="str">
            <v>Rohit Kumar</v>
          </cell>
          <cell r="B5">
            <v>3</v>
          </cell>
          <cell r="C5">
            <v>72</v>
          </cell>
          <cell r="D5">
            <v>65</v>
          </cell>
          <cell r="E5">
            <v>80</v>
          </cell>
          <cell r="F5">
            <v>70</v>
          </cell>
          <cell r="G5">
            <v>68</v>
          </cell>
          <cell r="H5">
            <v>355</v>
          </cell>
          <cell r="I5">
            <v>71</v>
          </cell>
          <cell r="J5" t="str">
            <v>B</v>
          </cell>
          <cell r="K5" t="str">
            <v>PASS</v>
          </cell>
          <cell r="L5">
            <v>12</v>
          </cell>
        </row>
        <row r="6">
          <cell r="A6" t="str">
            <v>Sneha Gupta</v>
          </cell>
          <cell r="B6">
            <v>4</v>
          </cell>
          <cell r="C6">
            <v>55</v>
          </cell>
          <cell r="D6">
            <v>60</v>
          </cell>
          <cell r="E6">
            <v>58</v>
          </cell>
          <cell r="F6">
            <v>52</v>
          </cell>
          <cell r="G6">
            <v>61</v>
          </cell>
          <cell r="H6">
            <v>286</v>
          </cell>
          <cell r="I6">
            <v>57.2</v>
          </cell>
          <cell r="J6" t="str">
            <v>C</v>
          </cell>
          <cell r="K6" t="str">
            <v>PASS</v>
          </cell>
          <cell r="L6">
            <v>16</v>
          </cell>
        </row>
        <row r="7">
          <cell r="A7" t="str">
            <v>Arjun Singh</v>
          </cell>
          <cell r="B7">
            <v>5</v>
          </cell>
          <cell r="C7">
            <v>98</v>
          </cell>
          <cell r="D7">
            <v>95</v>
          </cell>
          <cell r="E7">
            <v>97</v>
          </cell>
          <cell r="F7">
            <v>92</v>
          </cell>
          <cell r="G7">
            <v>99</v>
          </cell>
          <cell r="H7">
            <v>481</v>
          </cell>
          <cell r="I7">
            <v>96.2</v>
          </cell>
          <cell r="J7" t="str">
            <v>A+</v>
          </cell>
          <cell r="K7" t="str">
            <v>PASS</v>
          </cell>
          <cell r="L7">
            <v>1</v>
          </cell>
        </row>
        <row r="8">
          <cell r="A8" t="str">
            <v>Divya Nair</v>
          </cell>
          <cell r="B8">
            <v>6</v>
          </cell>
          <cell r="C8">
            <v>45</v>
          </cell>
          <cell r="D8">
            <v>50</v>
          </cell>
          <cell r="E8">
            <v>42</v>
          </cell>
          <cell r="F8">
            <v>48</v>
          </cell>
          <cell r="G8">
            <v>55</v>
          </cell>
          <cell r="H8">
            <v>240</v>
          </cell>
          <cell r="I8">
            <v>48</v>
          </cell>
          <cell r="J8" t="str">
            <v>C</v>
          </cell>
          <cell r="K8" t="str">
            <v>PASS</v>
          </cell>
          <cell r="L8">
            <v>18</v>
          </cell>
        </row>
        <row r="9">
          <cell r="A9" t="str">
            <v>Karan Mehta</v>
          </cell>
          <cell r="B9">
            <v>7</v>
          </cell>
          <cell r="C9">
            <v>80</v>
          </cell>
          <cell r="D9">
            <v>75</v>
          </cell>
          <cell r="E9">
            <v>83</v>
          </cell>
          <cell r="F9">
            <v>78</v>
          </cell>
          <cell r="G9">
            <v>72</v>
          </cell>
          <cell r="H9">
            <v>388</v>
          </cell>
          <cell r="I9">
            <v>77.599999999999994</v>
          </cell>
          <cell r="J9" t="str">
            <v>A</v>
          </cell>
          <cell r="K9" t="str">
            <v>PASS</v>
          </cell>
          <cell r="L9">
            <v>10</v>
          </cell>
        </row>
        <row r="10">
          <cell r="A10" t="str">
            <v>Ananya Joshi</v>
          </cell>
          <cell r="B10">
            <v>8</v>
          </cell>
          <cell r="C10">
            <v>68</v>
          </cell>
          <cell r="D10">
            <v>72</v>
          </cell>
          <cell r="E10">
            <v>65</v>
          </cell>
          <cell r="F10">
            <v>70</v>
          </cell>
          <cell r="G10">
            <v>74</v>
          </cell>
          <cell r="H10">
            <v>349</v>
          </cell>
          <cell r="I10">
            <v>69.8</v>
          </cell>
          <cell r="J10" t="str">
            <v>B</v>
          </cell>
          <cell r="K10" t="str">
            <v>PASS</v>
          </cell>
          <cell r="L10">
            <v>13</v>
          </cell>
        </row>
        <row r="11">
          <cell r="A11" t="str">
            <v>Vikram Rao</v>
          </cell>
          <cell r="B11">
            <v>9</v>
          </cell>
          <cell r="C11">
            <v>30</v>
          </cell>
          <cell r="D11">
            <v>38</v>
          </cell>
          <cell r="E11">
            <v>35</v>
          </cell>
          <cell r="F11">
            <v>28</v>
          </cell>
          <cell r="G11">
            <v>40</v>
          </cell>
          <cell r="H11">
            <v>171</v>
          </cell>
          <cell r="I11">
            <v>34.200000000000003</v>
          </cell>
          <cell r="J11" t="str">
            <v>D</v>
          </cell>
          <cell r="K11" t="str">
            <v>FAIL</v>
          </cell>
          <cell r="L11">
            <v>20</v>
          </cell>
        </row>
        <row r="12">
          <cell r="A12" t="str">
            <v>Pooja Iyer</v>
          </cell>
          <cell r="B12">
            <v>10</v>
          </cell>
          <cell r="C12">
            <v>91</v>
          </cell>
          <cell r="D12">
            <v>85</v>
          </cell>
          <cell r="E12">
            <v>89</v>
          </cell>
          <cell r="F12">
            <v>88</v>
          </cell>
          <cell r="G12">
            <v>94</v>
          </cell>
          <cell r="H12">
            <v>447</v>
          </cell>
          <cell r="I12">
            <v>89.4</v>
          </cell>
          <cell r="J12" t="str">
            <v>A</v>
          </cell>
          <cell r="K12" t="str">
            <v>PASS</v>
          </cell>
          <cell r="L12">
            <v>4</v>
          </cell>
        </row>
        <row r="13">
          <cell r="A13" t="str">
            <v>Siddharth Das</v>
          </cell>
          <cell r="B13">
            <v>11</v>
          </cell>
          <cell r="C13">
            <v>77</v>
          </cell>
          <cell r="D13">
            <v>80</v>
          </cell>
          <cell r="E13">
            <v>74</v>
          </cell>
          <cell r="F13">
            <v>79</v>
          </cell>
          <cell r="G13">
            <v>83</v>
          </cell>
          <cell r="H13">
            <v>393</v>
          </cell>
          <cell r="I13">
            <v>78.599999999999994</v>
          </cell>
          <cell r="J13" t="str">
            <v>A</v>
          </cell>
          <cell r="K13" t="str">
            <v>PASS</v>
          </cell>
          <cell r="L13">
            <v>9</v>
          </cell>
        </row>
        <row r="14">
          <cell r="A14" t="str">
            <v>Meera Pillai</v>
          </cell>
          <cell r="B14">
            <v>12</v>
          </cell>
          <cell r="C14">
            <v>62</v>
          </cell>
          <cell r="D14">
            <v>58</v>
          </cell>
          <cell r="E14">
            <v>67</v>
          </cell>
          <cell r="F14">
            <v>60</v>
          </cell>
          <cell r="G14">
            <v>65</v>
          </cell>
          <cell r="H14">
            <v>312</v>
          </cell>
          <cell r="I14">
            <v>62.4</v>
          </cell>
          <cell r="J14" t="str">
            <v>B</v>
          </cell>
          <cell r="K14" t="str">
            <v>PASS</v>
          </cell>
          <cell r="L14">
            <v>15</v>
          </cell>
        </row>
        <row r="15">
          <cell r="A15" t="str">
            <v>Aditya Bose</v>
          </cell>
          <cell r="B15">
            <v>13</v>
          </cell>
          <cell r="C15">
            <v>85</v>
          </cell>
          <cell r="D15">
            <v>90</v>
          </cell>
          <cell r="E15">
            <v>82</v>
          </cell>
          <cell r="F15">
            <v>88</v>
          </cell>
          <cell r="G15">
            <v>86</v>
          </cell>
          <cell r="H15">
            <v>431</v>
          </cell>
          <cell r="I15">
            <v>86.2</v>
          </cell>
          <cell r="J15" t="str">
            <v>A</v>
          </cell>
          <cell r="K15" t="str">
            <v>PASS</v>
          </cell>
          <cell r="L15">
            <v>6</v>
          </cell>
        </row>
        <row r="16">
          <cell r="A16" t="str">
            <v>Nisha Verma</v>
          </cell>
          <cell r="B16">
            <v>14</v>
          </cell>
          <cell r="C16">
            <v>50</v>
          </cell>
          <cell r="D16">
            <v>45</v>
          </cell>
          <cell r="E16">
            <v>55</v>
          </cell>
          <cell r="F16">
            <v>48</v>
          </cell>
          <cell r="G16">
            <v>52</v>
          </cell>
          <cell r="H16">
            <v>250</v>
          </cell>
          <cell r="I16">
            <v>50</v>
          </cell>
          <cell r="J16" t="str">
            <v>C</v>
          </cell>
          <cell r="K16" t="str">
            <v>PASS</v>
          </cell>
          <cell r="L16">
            <v>17</v>
          </cell>
        </row>
        <row r="17">
          <cell r="A17" t="str">
            <v>Ravi Tiwari</v>
          </cell>
          <cell r="B17">
            <v>15</v>
          </cell>
          <cell r="C17">
            <v>93</v>
          </cell>
          <cell r="D17">
            <v>96</v>
          </cell>
          <cell r="E17">
            <v>90</v>
          </cell>
          <cell r="F17">
            <v>94</v>
          </cell>
          <cell r="G17">
            <v>91</v>
          </cell>
          <cell r="H17">
            <v>464</v>
          </cell>
          <cell r="I17">
            <v>92.8</v>
          </cell>
          <cell r="J17" t="str">
            <v>A+</v>
          </cell>
          <cell r="K17" t="str">
            <v>PASS</v>
          </cell>
          <cell r="L17">
            <v>2</v>
          </cell>
        </row>
        <row r="18">
          <cell r="A18" t="str">
            <v>Kavya Reddy</v>
          </cell>
          <cell r="B18">
            <v>16</v>
          </cell>
          <cell r="C18">
            <v>74</v>
          </cell>
          <cell r="D18">
            <v>70</v>
          </cell>
          <cell r="E18">
            <v>78</v>
          </cell>
          <cell r="F18">
            <v>72</v>
          </cell>
          <cell r="G18">
            <v>76</v>
          </cell>
          <cell r="H18">
            <v>370</v>
          </cell>
          <cell r="I18">
            <v>74</v>
          </cell>
          <cell r="J18" t="str">
            <v>B</v>
          </cell>
          <cell r="K18" t="str">
            <v>PASS</v>
          </cell>
          <cell r="L18">
            <v>11</v>
          </cell>
        </row>
        <row r="19">
          <cell r="A19" t="str">
            <v>Harsh Mishra</v>
          </cell>
          <cell r="B19">
            <v>17</v>
          </cell>
          <cell r="C19">
            <v>38</v>
          </cell>
          <cell r="D19">
            <v>42</v>
          </cell>
          <cell r="E19">
            <v>40</v>
          </cell>
          <cell r="F19">
            <v>35</v>
          </cell>
          <cell r="G19">
            <v>45</v>
          </cell>
          <cell r="H19">
            <v>200</v>
          </cell>
          <cell r="I19">
            <v>40</v>
          </cell>
          <cell r="J19" t="str">
            <v>D</v>
          </cell>
          <cell r="K19" t="str">
            <v>PASS</v>
          </cell>
          <cell r="L19">
            <v>19</v>
          </cell>
        </row>
        <row r="20">
          <cell r="A20" t="str">
            <v>Tanvi Shah</v>
          </cell>
          <cell r="B20">
            <v>18</v>
          </cell>
          <cell r="C20">
            <v>87</v>
          </cell>
          <cell r="D20">
            <v>83</v>
          </cell>
          <cell r="E20">
            <v>91</v>
          </cell>
          <cell r="F20">
            <v>85</v>
          </cell>
          <cell r="G20">
            <v>89</v>
          </cell>
          <cell r="H20">
            <v>435</v>
          </cell>
          <cell r="I20">
            <v>87</v>
          </cell>
          <cell r="J20" t="str">
            <v>A</v>
          </cell>
          <cell r="K20" t="str">
            <v>PASS</v>
          </cell>
          <cell r="L20">
            <v>5</v>
          </cell>
        </row>
        <row r="21">
          <cell r="A21" t="str">
            <v>Gaurav Pandey</v>
          </cell>
          <cell r="B21">
            <v>19</v>
          </cell>
          <cell r="C21">
            <v>66</v>
          </cell>
          <cell r="D21">
            <v>62</v>
          </cell>
          <cell r="E21">
            <v>70</v>
          </cell>
          <cell r="F21">
            <v>64</v>
          </cell>
          <cell r="G21">
            <v>68</v>
          </cell>
          <cell r="H21">
            <v>330</v>
          </cell>
          <cell r="I21">
            <v>66</v>
          </cell>
          <cell r="J21" t="str">
            <v>B</v>
          </cell>
          <cell r="K21" t="str">
            <v>PASS</v>
          </cell>
          <cell r="L21">
            <v>14</v>
          </cell>
        </row>
        <row r="22">
          <cell r="A22" t="str">
            <v>Ishita Chauhan</v>
          </cell>
          <cell r="B22">
            <v>20</v>
          </cell>
          <cell r="C22">
            <v>79</v>
          </cell>
          <cell r="D22">
            <v>84</v>
          </cell>
          <cell r="E22">
            <v>77</v>
          </cell>
          <cell r="F22">
            <v>81</v>
          </cell>
          <cell r="G22">
            <v>85</v>
          </cell>
          <cell r="H22">
            <v>406</v>
          </cell>
          <cell r="I22">
            <v>81.2</v>
          </cell>
          <cell r="J22" t="str">
            <v>A</v>
          </cell>
          <cell r="K22" t="str">
            <v>PASS</v>
          </cell>
          <cell r="L22">
            <v>8</v>
          </cell>
        </row>
      </sheetData>
      <sheetData sheetId="1"/>
      <sheetData sheetId="2">
        <row r="13">
          <cell r="A13" t="str">
            <v>Grade A+</v>
          </cell>
          <cell r="B13">
            <v>3</v>
          </cell>
        </row>
        <row r="14">
          <cell r="A14" t="str">
            <v>Grade A</v>
          </cell>
          <cell r="B14">
            <v>7</v>
          </cell>
        </row>
        <row r="15">
          <cell r="A15" t="str">
            <v>Grade B</v>
          </cell>
          <cell r="B15">
            <v>5</v>
          </cell>
        </row>
        <row r="16">
          <cell r="A16" t="str">
            <v>Grade C</v>
          </cell>
          <cell r="B16">
            <v>3</v>
          </cell>
        </row>
        <row r="17">
          <cell r="A17" t="str">
            <v>Grade D</v>
          </cell>
          <cell r="B17">
            <v>2</v>
          </cell>
        </row>
        <row r="18">
          <cell r="A18" t="str">
            <v>Grade F</v>
          </cell>
          <cell r="B18">
            <v>0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3DA97-1FAF-45A7-B80B-D1D15ACDBA98}" name="Table1" displayName="Table1" ref="A2:L22" totalsRowShown="0" headerRowDxfId="23" headerRowBorderDxfId="22">
  <tableColumns count="12">
    <tableColumn id="1" xr3:uid="{726361FD-EBEC-4C9B-AEBA-4F59B0F1D2A8}" name="Student Name" dataDxfId="21"/>
    <tableColumn id="2" xr3:uid="{5482F7B5-EDCA-420F-930E-A0F3D553533E}" name="Roll No" dataDxfId="20"/>
    <tableColumn id="3" xr3:uid="{236CEB10-B3EA-4C20-B957-88487B098C35}" name="Maths" dataDxfId="19"/>
    <tableColumn id="4" xr3:uid="{959B9A0A-4E87-4B3A-87FE-45672C6ECD1A}" name="Science" dataDxfId="18"/>
    <tableColumn id="5" xr3:uid="{F325E05E-FF72-440B-B5B0-B23FE865AC40}" name="English" dataDxfId="17"/>
    <tableColumn id="6" xr3:uid="{1CF090A7-4DA0-409E-8AA9-1963DB540167}" name="Hindi" dataDxfId="16"/>
    <tableColumn id="7" xr3:uid="{EA836074-3AA7-4CF3-8F1C-C273F5C1B1DC}" name="Computer" dataDxfId="15"/>
    <tableColumn id="8" xr3:uid="{E3E4AB80-4B71-4E5B-9FC8-316F4F02A0CD}" name="Total Marks" dataDxfId="14">
      <calculatedColumnFormula>SUM(C3:G3)</calculatedColumnFormula>
    </tableColumn>
    <tableColumn id="9" xr3:uid="{85C0BDF1-9E21-4732-A010-529C3E275D25}" name="Percentage" dataDxfId="13">
      <calculatedColumnFormula>ROUND(H3/500*100,1)</calculatedColumnFormula>
    </tableColumn>
    <tableColumn id="10" xr3:uid="{323EEA39-23AF-4AE5-B6DB-AF2CEA538C77}" name="Grade" dataDxfId="12">
      <calculatedColumnFormula>IF(I3&gt;=90,"A+",IF(I3&gt;=75,"A",IF(I3&gt;=60,"B",IF(I3&gt;=45,"C",IF(I3&gt;=33,"D","F")))))</calculatedColumnFormula>
    </tableColumn>
    <tableColumn id="11" xr3:uid="{78F278B4-A4B1-4D0A-8BA3-70954B5ADFEC}" name="Pass/Fail" dataDxfId="11">
      <calculatedColumnFormula>IF(MIN(C3:G3)&gt;33,"PASS","FAIL")</calculatedColumnFormula>
    </tableColumn>
    <tableColumn id="12" xr3:uid="{8C07B5D4-33F8-4B33-924F-931DBD7F56E6}" name="Rank" dataDxfId="10">
      <calculatedColumnFormula>_xlfn.RANK.EQ(H3,H$3:H$22,0)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M22"/>
  <sheetViews>
    <sheetView workbookViewId="0">
      <selection activeCell="L3" sqref="L3"/>
    </sheetView>
  </sheetViews>
  <sheetFormatPr defaultRowHeight="14.4" x14ac:dyDescent="0.3"/>
  <cols>
    <col min="1" max="1" width="16.33203125" bestFit="1" customWidth="1"/>
    <col min="4" max="4" width="9" customWidth="1"/>
    <col min="7" max="7" width="12.109375" customWidth="1"/>
    <col min="8" max="8" width="14.6640625" customWidth="1"/>
    <col min="9" max="9" width="12" customWidth="1"/>
    <col min="11" max="11" width="11.109375" customWidth="1"/>
  </cols>
  <sheetData>
    <row r="1" spans="1:13" s="3" customFormat="1" ht="25.2" x14ac:dyDescent="0.6">
      <c r="G1" s="1" t="s">
        <v>0</v>
      </c>
      <c r="H1" s="1"/>
      <c r="I1" s="1"/>
      <c r="J1" s="1"/>
      <c r="K1" s="1"/>
      <c r="L1" s="2"/>
      <c r="M1" s="2"/>
    </row>
    <row r="2" spans="1:13" ht="25.2" customHeight="1" x14ac:dyDescent="0.3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</row>
    <row r="3" spans="1:13" x14ac:dyDescent="0.3">
      <c r="A3" s="8" t="s">
        <v>13</v>
      </c>
      <c r="B3" s="9">
        <v>1</v>
      </c>
      <c r="C3" s="9">
        <v>88</v>
      </c>
      <c r="D3" s="9">
        <v>92</v>
      </c>
      <c r="E3" s="9">
        <v>76</v>
      </c>
      <c r="F3" s="9">
        <v>85</v>
      </c>
      <c r="G3" s="9">
        <v>90</v>
      </c>
      <c r="H3" s="11">
        <f>SUM(C3:G3)</f>
        <v>431</v>
      </c>
      <c r="I3" s="11">
        <f>ROUND(H3/500*100,1)</f>
        <v>86.2</v>
      </c>
      <c r="J3" s="11" t="str">
        <f>IF(I3&gt;=90,"A+",IF(I3&gt;=75,"A",IF(I3&gt;=60,"B",IF(I3&gt;=45,"C",IF(I3&gt;=33,"D","F")))))</f>
        <v>A</v>
      </c>
      <c r="K3" s="11" t="str">
        <f>IF(MIN(C3:G3)&gt;33,"PASS","FAIL")</f>
        <v>PASS</v>
      </c>
      <c r="L3" s="11">
        <f t="shared" ref="L3:L22" si="0">_xlfn.RANK.EQ(H3,H$3:H$22,0)</f>
        <v>6</v>
      </c>
    </row>
    <row r="4" spans="1:13" x14ac:dyDescent="0.3">
      <c r="A4" s="6" t="s">
        <v>14</v>
      </c>
      <c r="B4" s="7">
        <v>2</v>
      </c>
      <c r="C4" s="7">
        <v>95</v>
      </c>
      <c r="D4" s="7">
        <v>88</v>
      </c>
      <c r="E4" s="7">
        <v>91</v>
      </c>
      <c r="F4" s="7">
        <v>87</v>
      </c>
      <c r="G4" s="7">
        <v>93</v>
      </c>
      <c r="H4" s="11">
        <f t="shared" ref="H4:H22" si="1">SUM(C4:G4)</f>
        <v>454</v>
      </c>
      <c r="I4" s="11">
        <f>ROUND(H4/500*100,1)</f>
        <v>90.8</v>
      </c>
      <c r="J4" s="11" t="str">
        <f t="shared" ref="J4:J22" si="2">IF(I4&gt;=90,"A+",IF(I4&gt;=75,"A",IF(I4&gt;=60,"B",IF(I4&gt;=45,"C",IF(I4&gt;=33,"D","F")))))</f>
        <v>A+</v>
      </c>
      <c r="K4" s="11" t="str">
        <f t="shared" ref="K4:K22" si="3">IF(MIN(C4:G4)&gt;33,"PASS","FAIL")</f>
        <v>PASS</v>
      </c>
      <c r="L4" s="11">
        <f t="shared" si="0"/>
        <v>3</v>
      </c>
    </row>
    <row r="5" spans="1:13" x14ac:dyDescent="0.3">
      <c r="A5" s="4" t="s">
        <v>15</v>
      </c>
      <c r="B5" s="5">
        <v>3</v>
      </c>
      <c r="C5" s="5">
        <v>72</v>
      </c>
      <c r="D5" s="5">
        <v>65</v>
      </c>
      <c r="E5" s="5">
        <v>80</v>
      </c>
      <c r="F5" s="5">
        <v>70</v>
      </c>
      <c r="G5" s="5">
        <v>68</v>
      </c>
      <c r="H5" s="11">
        <f t="shared" si="1"/>
        <v>355</v>
      </c>
      <c r="I5" s="11">
        <f t="shared" ref="I5:I22" si="4">ROUND(H5/500*100,1)</f>
        <v>71</v>
      </c>
      <c r="J5" s="11" t="str">
        <f t="shared" si="2"/>
        <v>B</v>
      </c>
      <c r="K5" s="11" t="str">
        <f t="shared" si="3"/>
        <v>PASS</v>
      </c>
      <c r="L5" s="11">
        <f t="shared" si="0"/>
        <v>12</v>
      </c>
    </row>
    <row r="6" spans="1:13" x14ac:dyDescent="0.3">
      <c r="A6" s="6" t="s">
        <v>16</v>
      </c>
      <c r="B6" s="7">
        <v>4</v>
      </c>
      <c r="C6" s="7">
        <v>55</v>
      </c>
      <c r="D6" s="7">
        <v>60</v>
      </c>
      <c r="E6" s="7">
        <v>58</v>
      </c>
      <c r="F6" s="7">
        <v>52</v>
      </c>
      <c r="G6" s="7">
        <v>61</v>
      </c>
      <c r="H6" s="11">
        <f t="shared" si="1"/>
        <v>286</v>
      </c>
      <c r="I6" s="11">
        <f t="shared" si="4"/>
        <v>57.2</v>
      </c>
      <c r="J6" s="11" t="str">
        <f t="shared" si="2"/>
        <v>C</v>
      </c>
      <c r="K6" s="11" t="str">
        <f t="shared" si="3"/>
        <v>PASS</v>
      </c>
      <c r="L6" s="11">
        <f t="shared" si="0"/>
        <v>16</v>
      </c>
    </row>
    <row r="7" spans="1:13" x14ac:dyDescent="0.3">
      <c r="A7" s="4" t="s">
        <v>17</v>
      </c>
      <c r="B7" s="5">
        <v>5</v>
      </c>
      <c r="C7" s="5">
        <v>98</v>
      </c>
      <c r="D7" s="5">
        <v>95</v>
      </c>
      <c r="E7" s="5">
        <v>97</v>
      </c>
      <c r="F7" s="5">
        <v>92</v>
      </c>
      <c r="G7" s="5">
        <v>99</v>
      </c>
      <c r="H7" s="11">
        <f t="shared" si="1"/>
        <v>481</v>
      </c>
      <c r="I7" s="11">
        <f t="shared" si="4"/>
        <v>96.2</v>
      </c>
      <c r="J7" s="11" t="str">
        <f t="shared" si="2"/>
        <v>A+</v>
      </c>
      <c r="K7" s="11" t="str">
        <f t="shared" si="3"/>
        <v>PASS</v>
      </c>
      <c r="L7" s="11">
        <f t="shared" si="0"/>
        <v>1</v>
      </c>
    </row>
    <row r="8" spans="1:13" x14ac:dyDescent="0.3">
      <c r="A8" s="6" t="s">
        <v>18</v>
      </c>
      <c r="B8" s="7">
        <v>6</v>
      </c>
      <c r="C8" s="7">
        <v>45</v>
      </c>
      <c r="D8" s="7">
        <v>50</v>
      </c>
      <c r="E8" s="7">
        <v>42</v>
      </c>
      <c r="F8" s="7">
        <v>48</v>
      </c>
      <c r="G8" s="7">
        <v>55</v>
      </c>
      <c r="H8" s="11">
        <f t="shared" si="1"/>
        <v>240</v>
      </c>
      <c r="I8" s="11">
        <f t="shared" si="4"/>
        <v>48</v>
      </c>
      <c r="J8" s="11" t="str">
        <f t="shared" si="2"/>
        <v>C</v>
      </c>
      <c r="K8" s="11" t="str">
        <f t="shared" si="3"/>
        <v>PASS</v>
      </c>
      <c r="L8" s="11">
        <f t="shared" si="0"/>
        <v>18</v>
      </c>
    </row>
    <row r="9" spans="1:13" x14ac:dyDescent="0.3">
      <c r="A9" s="4" t="s">
        <v>19</v>
      </c>
      <c r="B9" s="5">
        <v>7</v>
      </c>
      <c r="C9" s="5">
        <v>80</v>
      </c>
      <c r="D9" s="5">
        <v>75</v>
      </c>
      <c r="E9" s="5">
        <v>83</v>
      </c>
      <c r="F9" s="5">
        <v>78</v>
      </c>
      <c r="G9" s="5">
        <v>72</v>
      </c>
      <c r="H9" s="11">
        <f t="shared" si="1"/>
        <v>388</v>
      </c>
      <c r="I9" s="11">
        <f t="shared" si="4"/>
        <v>77.599999999999994</v>
      </c>
      <c r="J9" s="11" t="str">
        <f t="shared" si="2"/>
        <v>A</v>
      </c>
      <c r="K9" s="11" t="str">
        <f t="shared" si="3"/>
        <v>PASS</v>
      </c>
      <c r="L9" s="11">
        <f t="shared" si="0"/>
        <v>10</v>
      </c>
    </row>
    <row r="10" spans="1:13" x14ac:dyDescent="0.3">
      <c r="A10" s="6" t="s">
        <v>20</v>
      </c>
      <c r="B10" s="7">
        <v>8</v>
      </c>
      <c r="C10" s="7">
        <v>68</v>
      </c>
      <c r="D10" s="7">
        <v>72</v>
      </c>
      <c r="E10" s="7">
        <v>65</v>
      </c>
      <c r="F10" s="7">
        <v>70</v>
      </c>
      <c r="G10" s="7">
        <v>74</v>
      </c>
      <c r="H10" s="11">
        <f t="shared" si="1"/>
        <v>349</v>
      </c>
      <c r="I10" s="11">
        <f t="shared" si="4"/>
        <v>69.8</v>
      </c>
      <c r="J10" s="11" t="str">
        <f t="shared" si="2"/>
        <v>B</v>
      </c>
      <c r="K10" s="11" t="str">
        <f t="shared" si="3"/>
        <v>PASS</v>
      </c>
      <c r="L10" s="11">
        <f t="shared" si="0"/>
        <v>13</v>
      </c>
    </row>
    <row r="11" spans="1:13" x14ac:dyDescent="0.3">
      <c r="A11" s="4" t="s">
        <v>21</v>
      </c>
      <c r="B11" s="5">
        <v>9</v>
      </c>
      <c r="C11" s="5">
        <v>30</v>
      </c>
      <c r="D11" s="5">
        <v>38</v>
      </c>
      <c r="E11" s="5">
        <v>35</v>
      </c>
      <c r="F11" s="5">
        <v>28</v>
      </c>
      <c r="G11" s="5">
        <v>40</v>
      </c>
      <c r="H11" s="11">
        <f t="shared" si="1"/>
        <v>171</v>
      </c>
      <c r="I11" s="11">
        <f t="shared" si="4"/>
        <v>34.200000000000003</v>
      </c>
      <c r="J11" s="11" t="str">
        <f t="shared" si="2"/>
        <v>D</v>
      </c>
      <c r="K11" s="11" t="str">
        <f t="shared" si="3"/>
        <v>FAIL</v>
      </c>
      <c r="L11" s="11">
        <f t="shared" si="0"/>
        <v>20</v>
      </c>
    </row>
    <row r="12" spans="1:13" x14ac:dyDescent="0.3">
      <c r="A12" s="6" t="s">
        <v>22</v>
      </c>
      <c r="B12" s="7">
        <v>10</v>
      </c>
      <c r="C12" s="7">
        <v>91</v>
      </c>
      <c r="D12" s="7">
        <v>85</v>
      </c>
      <c r="E12" s="7">
        <v>89</v>
      </c>
      <c r="F12" s="7">
        <v>88</v>
      </c>
      <c r="G12" s="7">
        <v>94</v>
      </c>
      <c r="H12" s="11">
        <f t="shared" si="1"/>
        <v>447</v>
      </c>
      <c r="I12" s="11">
        <f t="shared" si="4"/>
        <v>89.4</v>
      </c>
      <c r="J12" s="11" t="str">
        <f t="shared" si="2"/>
        <v>A</v>
      </c>
      <c r="K12" s="11" t="str">
        <f t="shared" si="3"/>
        <v>PASS</v>
      </c>
      <c r="L12" s="11">
        <f t="shared" si="0"/>
        <v>4</v>
      </c>
    </row>
    <row r="13" spans="1:13" x14ac:dyDescent="0.3">
      <c r="A13" s="4" t="s">
        <v>23</v>
      </c>
      <c r="B13" s="5">
        <v>11</v>
      </c>
      <c r="C13" s="5">
        <v>77</v>
      </c>
      <c r="D13" s="5">
        <v>80</v>
      </c>
      <c r="E13" s="5">
        <v>74</v>
      </c>
      <c r="F13" s="5">
        <v>79</v>
      </c>
      <c r="G13" s="5">
        <v>83</v>
      </c>
      <c r="H13" s="11">
        <f t="shared" si="1"/>
        <v>393</v>
      </c>
      <c r="I13" s="11">
        <f t="shared" si="4"/>
        <v>78.599999999999994</v>
      </c>
      <c r="J13" s="11" t="str">
        <f t="shared" si="2"/>
        <v>A</v>
      </c>
      <c r="K13" s="11" t="str">
        <f t="shared" si="3"/>
        <v>PASS</v>
      </c>
      <c r="L13" s="11">
        <f t="shared" si="0"/>
        <v>9</v>
      </c>
    </row>
    <row r="14" spans="1:13" x14ac:dyDescent="0.3">
      <c r="A14" s="6" t="s">
        <v>24</v>
      </c>
      <c r="B14" s="7">
        <v>12</v>
      </c>
      <c r="C14" s="7">
        <v>62</v>
      </c>
      <c r="D14" s="7">
        <v>58</v>
      </c>
      <c r="E14" s="7">
        <v>67</v>
      </c>
      <c r="F14" s="7">
        <v>60</v>
      </c>
      <c r="G14" s="7">
        <v>65</v>
      </c>
      <c r="H14" s="11">
        <f t="shared" si="1"/>
        <v>312</v>
      </c>
      <c r="I14" s="11">
        <f t="shared" si="4"/>
        <v>62.4</v>
      </c>
      <c r="J14" s="11" t="str">
        <f t="shared" si="2"/>
        <v>B</v>
      </c>
      <c r="K14" s="11" t="str">
        <f t="shared" si="3"/>
        <v>PASS</v>
      </c>
      <c r="L14" s="11">
        <f t="shared" si="0"/>
        <v>15</v>
      </c>
    </row>
    <row r="15" spans="1:13" x14ac:dyDescent="0.3">
      <c r="A15" s="4" t="s">
        <v>25</v>
      </c>
      <c r="B15" s="5">
        <v>13</v>
      </c>
      <c r="C15" s="5">
        <v>85</v>
      </c>
      <c r="D15" s="5">
        <v>90</v>
      </c>
      <c r="E15" s="5">
        <v>82</v>
      </c>
      <c r="F15" s="5">
        <v>88</v>
      </c>
      <c r="G15" s="5">
        <v>86</v>
      </c>
      <c r="H15" s="11">
        <f t="shared" si="1"/>
        <v>431</v>
      </c>
      <c r="I15" s="11">
        <f t="shared" si="4"/>
        <v>86.2</v>
      </c>
      <c r="J15" s="11" t="str">
        <f t="shared" si="2"/>
        <v>A</v>
      </c>
      <c r="K15" s="11" t="str">
        <f t="shared" si="3"/>
        <v>PASS</v>
      </c>
      <c r="L15" s="11">
        <f t="shared" si="0"/>
        <v>6</v>
      </c>
    </row>
    <row r="16" spans="1:13" x14ac:dyDescent="0.3">
      <c r="A16" s="6" t="s">
        <v>26</v>
      </c>
      <c r="B16" s="7">
        <v>14</v>
      </c>
      <c r="C16" s="7">
        <v>50</v>
      </c>
      <c r="D16" s="7">
        <v>45</v>
      </c>
      <c r="E16" s="7">
        <v>55</v>
      </c>
      <c r="F16" s="7">
        <v>48</v>
      </c>
      <c r="G16" s="7">
        <v>52</v>
      </c>
      <c r="H16" s="11">
        <f t="shared" si="1"/>
        <v>250</v>
      </c>
      <c r="I16" s="11">
        <f t="shared" si="4"/>
        <v>50</v>
      </c>
      <c r="J16" s="11" t="str">
        <f t="shared" si="2"/>
        <v>C</v>
      </c>
      <c r="K16" s="11" t="str">
        <f t="shared" si="3"/>
        <v>PASS</v>
      </c>
      <c r="L16" s="11">
        <f t="shared" si="0"/>
        <v>17</v>
      </c>
    </row>
    <row r="17" spans="1:12" x14ac:dyDescent="0.3">
      <c r="A17" s="4" t="s">
        <v>27</v>
      </c>
      <c r="B17" s="5">
        <v>15</v>
      </c>
      <c r="C17" s="5">
        <v>93</v>
      </c>
      <c r="D17" s="5">
        <v>96</v>
      </c>
      <c r="E17" s="5">
        <v>90</v>
      </c>
      <c r="F17" s="5">
        <v>94</v>
      </c>
      <c r="G17" s="5">
        <v>91</v>
      </c>
      <c r="H17" s="11">
        <f t="shared" si="1"/>
        <v>464</v>
      </c>
      <c r="I17" s="11">
        <f t="shared" si="4"/>
        <v>92.8</v>
      </c>
      <c r="J17" s="11" t="str">
        <f t="shared" si="2"/>
        <v>A+</v>
      </c>
      <c r="K17" s="11" t="str">
        <f t="shared" si="3"/>
        <v>PASS</v>
      </c>
      <c r="L17" s="11">
        <f t="shared" si="0"/>
        <v>2</v>
      </c>
    </row>
    <row r="18" spans="1:12" x14ac:dyDescent="0.3">
      <c r="A18" s="6" t="s">
        <v>28</v>
      </c>
      <c r="B18" s="7">
        <v>16</v>
      </c>
      <c r="C18" s="7">
        <v>74</v>
      </c>
      <c r="D18" s="7">
        <v>70</v>
      </c>
      <c r="E18" s="7">
        <v>78</v>
      </c>
      <c r="F18" s="7">
        <v>72</v>
      </c>
      <c r="G18" s="7">
        <v>76</v>
      </c>
      <c r="H18" s="11">
        <f t="shared" si="1"/>
        <v>370</v>
      </c>
      <c r="I18" s="11">
        <f t="shared" si="4"/>
        <v>74</v>
      </c>
      <c r="J18" s="11" t="str">
        <f t="shared" si="2"/>
        <v>B</v>
      </c>
      <c r="K18" s="11" t="str">
        <f t="shared" si="3"/>
        <v>PASS</v>
      </c>
      <c r="L18" s="11">
        <f t="shared" si="0"/>
        <v>11</v>
      </c>
    </row>
    <row r="19" spans="1:12" x14ac:dyDescent="0.3">
      <c r="A19" s="4" t="s">
        <v>29</v>
      </c>
      <c r="B19" s="5">
        <v>17</v>
      </c>
      <c r="C19" s="5">
        <v>38</v>
      </c>
      <c r="D19" s="5">
        <v>42</v>
      </c>
      <c r="E19" s="5">
        <v>40</v>
      </c>
      <c r="F19" s="5">
        <v>35</v>
      </c>
      <c r="G19" s="5">
        <v>45</v>
      </c>
      <c r="H19" s="11">
        <f t="shared" si="1"/>
        <v>200</v>
      </c>
      <c r="I19" s="11">
        <f t="shared" si="4"/>
        <v>40</v>
      </c>
      <c r="J19" s="11" t="str">
        <f t="shared" si="2"/>
        <v>D</v>
      </c>
      <c r="K19" s="11" t="str">
        <f t="shared" si="3"/>
        <v>PASS</v>
      </c>
      <c r="L19" s="11">
        <f t="shared" si="0"/>
        <v>19</v>
      </c>
    </row>
    <row r="20" spans="1:12" x14ac:dyDescent="0.3">
      <c r="A20" s="6" t="s">
        <v>30</v>
      </c>
      <c r="B20" s="7">
        <v>18</v>
      </c>
      <c r="C20" s="7">
        <v>87</v>
      </c>
      <c r="D20" s="7">
        <v>83</v>
      </c>
      <c r="E20" s="7">
        <v>91</v>
      </c>
      <c r="F20" s="7">
        <v>85</v>
      </c>
      <c r="G20" s="7">
        <v>89</v>
      </c>
      <c r="H20" s="11">
        <f t="shared" si="1"/>
        <v>435</v>
      </c>
      <c r="I20" s="11">
        <f t="shared" si="4"/>
        <v>87</v>
      </c>
      <c r="J20" s="11" t="str">
        <f t="shared" si="2"/>
        <v>A</v>
      </c>
      <c r="K20" s="11" t="str">
        <f t="shared" si="3"/>
        <v>PASS</v>
      </c>
      <c r="L20" s="11">
        <f t="shared" si="0"/>
        <v>5</v>
      </c>
    </row>
    <row r="21" spans="1:12" x14ac:dyDescent="0.3">
      <c r="A21" s="4" t="s">
        <v>31</v>
      </c>
      <c r="B21" s="5">
        <v>19</v>
      </c>
      <c r="C21" s="5">
        <v>66</v>
      </c>
      <c r="D21" s="5">
        <v>62</v>
      </c>
      <c r="E21" s="5">
        <v>70</v>
      </c>
      <c r="F21" s="5">
        <v>64</v>
      </c>
      <c r="G21" s="5">
        <v>68</v>
      </c>
      <c r="H21" s="11">
        <f t="shared" si="1"/>
        <v>330</v>
      </c>
      <c r="I21" s="11">
        <f t="shared" si="4"/>
        <v>66</v>
      </c>
      <c r="J21" s="11" t="str">
        <f t="shared" si="2"/>
        <v>B</v>
      </c>
      <c r="K21" s="11" t="str">
        <f t="shared" si="3"/>
        <v>PASS</v>
      </c>
      <c r="L21" s="11">
        <f t="shared" si="0"/>
        <v>14</v>
      </c>
    </row>
    <row r="22" spans="1:12" x14ac:dyDescent="0.3">
      <c r="A22" s="6" t="s">
        <v>32</v>
      </c>
      <c r="B22" s="7">
        <v>20</v>
      </c>
      <c r="C22" s="7">
        <v>79</v>
      </c>
      <c r="D22" s="7">
        <v>84</v>
      </c>
      <c r="E22" s="7">
        <v>77</v>
      </c>
      <c r="F22" s="7">
        <v>81</v>
      </c>
      <c r="G22" s="7">
        <v>85</v>
      </c>
      <c r="H22" s="11">
        <f t="shared" si="1"/>
        <v>406</v>
      </c>
      <c r="I22" s="11">
        <f t="shared" si="4"/>
        <v>81.2</v>
      </c>
      <c r="J22" s="11" t="str">
        <f t="shared" si="2"/>
        <v>A</v>
      </c>
      <c r="K22" s="11" t="str">
        <f t="shared" si="3"/>
        <v>PASS</v>
      </c>
      <c r="L22" s="11">
        <f t="shared" si="0"/>
        <v>8</v>
      </c>
    </row>
  </sheetData>
  <conditionalFormatting sqref="I3:I22">
    <cfRule type="cellIs" dxfId="9" priority="1" operator="lessThan">
      <formula>35</formula>
    </cfRule>
    <cfRule type="cellIs" dxfId="8" priority="2" operator="lessThan">
      <formula>33</formula>
    </cfRule>
    <cfRule type="cellIs" dxfId="7" priority="3" operator="between">
      <formula>33</formula>
      <formula>45</formula>
    </cfRule>
    <cfRule type="cellIs" dxfId="6" priority="4" operator="between">
      <formula>33</formula>
      <formula>45</formula>
    </cfRule>
    <cfRule type="cellIs" dxfId="5" priority="5" operator="between">
      <formula>45</formula>
      <formula>60</formula>
    </cfRule>
    <cfRule type="cellIs" dxfId="4" priority="6" operator="between">
      <formula>60</formula>
      <formula>75</formula>
    </cfRule>
    <cfRule type="cellIs" dxfId="3" priority="7" operator="between">
      <formula>75</formula>
      <formula>90</formula>
    </cfRule>
    <cfRule type="cellIs" dxfId="2" priority="8" operator="greaterThan">
      <formula>90</formula>
    </cfRule>
  </conditionalFormatting>
  <conditionalFormatting sqref="K3:K22">
    <cfRule type="cellIs" dxfId="1" priority="9" operator="equal">
      <formula>"FAIL"</formula>
    </cfRule>
    <cfRule type="cellIs" dxfId="0" priority="10" operator="equal">
      <formula>"PASS"</formula>
    </cfRule>
  </conditionalFormatting>
  <dataValidations count="1">
    <dataValidation type="whole" showErrorMessage="1" errorTitle="Invalid Entry" error="Marks must be between 0 and 100" sqref="C3:G22" xr:uid="{F9E53560-766C-4665-8189-099D7BDAD66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AA76-E0A2-46F0-9B78-DDC4D4571A0E}">
  <sheetPr>
    <tabColor rgb="FF7030A0"/>
  </sheetPr>
  <dimension ref="A1:G15"/>
  <sheetViews>
    <sheetView workbookViewId="0">
      <selection activeCell="B4" sqref="B4"/>
    </sheetView>
  </sheetViews>
  <sheetFormatPr defaultColWidth="8.6640625" defaultRowHeight="14.4" x14ac:dyDescent="0.3"/>
  <cols>
    <col min="1" max="1" width="20" customWidth="1"/>
    <col min="2" max="2" width="12" customWidth="1"/>
  </cols>
  <sheetData>
    <row r="1" spans="1:7" ht="16.8" x14ac:dyDescent="0.3">
      <c r="A1" s="12" t="s">
        <v>33</v>
      </c>
      <c r="B1" s="12"/>
      <c r="C1" s="12"/>
      <c r="D1" s="12"/>
      <c r="E1" s="12"/>
      <c r="F1" s="12"/>
      <c r="G1" s="12"/>
    </row>
    <row r="3" spans="1:7" ht="16.2" thickBot="1" x14ac:dyDescent="0.35">
      <c r="A3" s="13" t="s">
        <v>34</v>
      </c>
      <c r="B3" s="14">
        <v>3</v>
      </c>
    </row>
    <row r="5" spans="1:7" x14ac:dyDescent="0.3">
      <c r="A5" s="15" t="s">
        <v>1</v>
      </c>
      <c r="B5" s="16">
        <f>IFERROR(VLOOKUP(B3,'[1]Student Data'!$B$3:$L$22,1,0),"-")</f>
        <v>3</v>
      </c>
    </row>
    <row r="6" spans="1:7" x14ac:dyDescent="0.3">
      <c r="A6" s="15" t="s">
        <v>35</v>
      </c>
      <c r="B6" s="16">
        <f>IFERROR(VLOOKUP(B3,'[1]Student Data'!$B$3:$L$22,2,0),"-")</f>
        <v>72</v>
      </c>
    </row>
    <row r="7" spans="1:7" x14ac:dyDescent="0.3">
      <c r="A7" s="15" t="s">
        <v>4</v>
      </c>
      <c r="B7" s="16">
        <f>IFERROR(VLOOKUP(B3,'[1]Student Data'!$B$3:$L$22,3,0),"-")</f>
        <v>65</v>
      </c>
    </row>
    <row r="8" spans="1:7" x14ac:dyDescent="0.3">
      <c r="A8" s="15" t="s">
        <v>5</v>
      </c>
      <c r="B8" s="16">
        <f>IFERROR(VLOOKUP(B3,'[1]Student Data'!$B$3:$L$22,4,0),"-")</f>
        <v>80</v>
      </c>
    </row>
    <row r="9" spans="1:7" x14ac:dyDescent="0.3">
      <c r="A9" s="15" t="s">
        <v>6</v>
      </c>
      <c r="B9" s="16">
        <f>IFERROR(VLOOKUP(B3,'[1]Student Data'!$B$3:$L$22,5,0),"-")</f>
        <v>70</v>
      </c>
    </row>
    <row r="10" spans="1:7" x14ac:dyDescent="0.3">
      <c r="A10" s="15" t="s">
        <v>7</v>
      </c>
      <c r="B10" s="16">
        <f>IFERROR(VLOOKUP(B3,'[1]Student Data'!$B$3:$L$22,6,0),"-")</f>
        <v>68</v>
      </c>
    </row>
    <row r="11" spans="1:7" x14ac:dyDescent="0.3">
      <c r="A11" s="15" t="s">
        <v>8</v>
      </c>
      <c r="B11" s="16">
        <f>IFERROR(VLOOKUP(B3,'[1]Student Data'!$B$3:$L$22,7,0),"-")</f>
        <v>355</v>
      </c>
    </row>
    <row r="12" spans="1:7" x14ac:dyDescent="0.3">
      <c r="A12" s="15" t="s">
        <v>9</v>
      </c>
      <c r="B12" s="16">
        <f>IFERROR(VLOOKUP(B3,'[1]Student Data'!$B$3:$L$22,8,0),"-")</f>
        <v>71</v>
      </c>
    </row>
    <row r="13" spans="1:7" x14ac:dyDescent="0.3">
      <c r="A13" s="15" t="s">
        <v>10</v>
      </c>
      <c r="B13" s="16" t="str">
        <f>IFERROR(VLOOKUP(B3,'[1]Student Data'!$B$3:$L$22,9,0),"-")</f>
        <v>B</v>
      </c>
    </row>
    <row r="14" spans="1:7" x14ac:dyDescent="0.3">
      <c r="A14" s="15" t="s">
        <v>36</v>
      </c>
      <c r="B14" s="16" t="str">
        <f>IFERROR(VLOOKUP(B3,'[1]Student Data'!$B$3:$L$22,10,0),"-")</f>
        <v>PASS</v>
      </c>
    </row>
    <row r="15" spans="1:7" x14ac:dyDescent="0.3">
      <c r="A15" s="15" t="s">
        <v>37</v>
      </c>
      <c r="B15" s="16">
        <f>IFERROR(VLOOKUP(B3,'[1]Student Data'!$B$3:$L$22,11,0),"-")</f>
        <v>12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1072-5DDD-4124-99C1-CF02813E0EB0}">
  <sheetPr>
    <tabColor rgb="FFB02C08"/>
  </sheetPr>
  <dimension ref="A1:H31"/>
  <sheetViews>
    <sheetView tabSelected="1" workbookViewId="0">
      <selection activeCell="B27" sqref="B27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2" customWidth="1"/>
  </cols>
  <sheetData>
    <row r="1" spans="1:8" ht="17.399999999999999" x14ac:dyDescent="0.3">
      <c r="A1" s="17" t="s">
        <v>38</v>
      </c>
      <c r="B1" s="17"/>
      <c r="C1" s="17"/>
      <c r="D1" s="17"/>
      <c r="E1" s="17"/>
      <c r="F1" s="17"/>
      <c r="G1" s="17"/>
      <c r="H1" s="17"/>
    </row>
    <row r="3" spans="1:8" ht="15" customHeight="1" x14ac:dyDescent="0.3">
      <c r="A3" s="18" t="s">
        <v>39</v>
      </c>
      <c r="B3" s="18"/>
      <c r="C3" s="18"/>
      <c r="D3" s="18"/>
    </row>
    <row r="4" spans="1:8" x14ac:dyDescent="0.3">
      <c r="A4" s="15" t="s">
        <v>40</v>
      </c>
      <c r="B4" s="19">
        <f>ROUND(AVERAGE('[1]Student Data'!I3:I22),1)</f>
        <v>71.900000000000006</v>
      </c>
    </row>
    <row r="5" spans="1:8" x14ac:dyDescent="0.3">
      <c r="A5" s="15" t="s">
        <v>41</v>
      </c>
      <c r="B5" s="19">
        <f>MAX('[1]Student Data'!H3:H22)</f>
        <v>481</v>
      </c>
    </row>
    <row r="6" spans="1:8" x14ac:dyDescent="0.3">
      <c r="A6" s="15" t="s">
        <v>42</v>
      </c>
      <c r="B6" s="19">
        <f>MIN('[1]Student Data'!H3:H22)</f>
        <v>171</v>
      </c>
    </row>
    <row r="7" spans="1:8" x14ac:dyDescent="0.3">
      <c r="A7" s="15" t="s">
        <v>43</v>
      </c>
      <c r="B7" s="19">
        <f>COUNTA('[1]Student Data'!A3:A22)</f>
        <v>20</v>
      </c>
    </row>
    <row r="8" spans="1:8" x14ac:dyDescent="0.3">
      <c r="A8" s="15" t="s">
        <v>44</v>
      </c>
      <c r="B8" s="19">
        <f>COUNTIF('[1]Student Data'!K3:K22,"PASS")</f>
        <v>19</v>
      </c>
    </row>
    <row r="9" spans="1:8" x14ac:dyDescent="0.3">
      <c r="A9" s="15" t="s">
        <v>45</v>
      </c>
      <c r="B9" s="19">
        <f>COUNTIF('[1]Student Data'!K3:K22,"FAIL")</f>
        <v>1</v>
      </c>
    </row>
    <row r="10" spans="1:8" x14ac:dyDescent="0.3">
      <c r="A10" s="15" t="s">
        <v>46</v>
      </c>
      <c r="B10" s="19">
        <f>ROUND(COUNTIF('[1]Student Data'!K3:K22,"PASS")/COUNTA('[1]Student Data'!A3:A22)*100,1)</f>
        <v>95</v>
      </c>
    </row>
    <row r="12" spans="1:8" ht="15" customHeight="1" x14ac:dyDescent="0.3">
      <c r="A12" s="18" t="s">
        <v>47</v>
      </c>
      <c r="B12" s="18"/>
      <c r="C12" s="18"/>
      <c r="D12" s="18"/>
    </row>
    <row r="13" spans="1:8" x14ac:dyDescent="0.3">
      <c r="A13" s="15" t="s">
        <v>48</v>
      </c>
      <c r="B13" s="20">
        <f>COUNTIF('[1]Student Data'!J3:J22,"A+")</f>
        <v>3</v>
      </c>
    </row>
    <row r="14" spans="1:8" x14ac:dyDescent="0.3">
      <c r="A14" s="15" t="s">
        <v>49</v>
      </c>
      <c r="B14" s="20">
        <f>COUNTIF('[1]Student Data'!J3:J22,"A")</f>
        <v>7</v>
      </c>
    </row>
    <row r="15" spans="1:8" x14ac:dyDescent="0.3">
      <c r="A15" s="15" t="s">
        <v>50</v>
      </c>
      <c r="B15" s="20">
        <f>COUNTIF('[1]Student Data'!J3:J22,"B")</f>
        <v>5</v>
      </c>
    </row>
    <row r="16" spans="1:8" x14ac:dyDescent="0.3">
      <c r="A16" s="15" t="s">
        <v>51</v>
      </c>
      <c r="B16" s="20">
        <f>COUNTIF('[1]Student Data'!J3:J22,"C")</f>
        <v>3</v>
      </c>
    </row>
    <row r="17" spans="1:4" x14ac:dyDescent="0.3">
      <c r="A17" s="15" t="s">
        <v>52</v>
      </c>
      <c r="B17" s="20">
        <f>COUNTIF('[1]Student Data'!J3:J22,"D")</f>
        <v>2</v>
      </c>
    </row>
    <row r="18" spans="1:4" x14ac:dyDescent="0.3">
      <c r="A18" s="15" t="s">
        <v>53</v>
      </c>
      <c r="B18" s="20">
        <f>COUNTIF('[1]Student Data'!J3:J22,"F")</f>
        <v>0</v>
      </c>
    </row>
    <row r="20" spans="1:4" ht="15" customHeight="1" x14ac:dyDescent="0.3">
      <c r="A20" s="21" t="s">
        <v>54</v>
      </c>
      <c r="B20" s="21"/>
      <c r="C20" s="21"/>
      <c r="D20" s="21"/>
    </row>
    <row r="21" spans="1:4" x14ac:dyDescent="0.3">
      <c r="A21" s="22" t="s">
        <v>55</v>
      </c>
      <c r="B21" s="23" t="str">
        <f>IFERROR(INDEX('[1]Student Data'!A3:A22,MATCH(LARGE('[1]Student Data'!H3:H22,1),'[1]Student Data'!H3:H22,0)),"")</f>
        <v>Arjun Singh</v>
      </c>
      <c r="C21" s="24">
        <f>IFERROR(LARGE('[1]Student Data'!H3:H22,1),"")</f>
        <v>481</v>
      </c>
    </row>
    <row r="22" spans="1:4" x14ac:dyDescent="0.3">
      <c r="A22" s="25" t="s">
        <v>56</v>
      </c>
      <c r="B22" s="26" t="str">
        <f>IFERROR(INDEX('[1]Student Data'!A3:A22,MATCH(LARGE('[1]Student Data'!H3:H22,2),'[1]Student Data'!H3:H22,0)),"")</f>
        <v>Ravi Tiwari</v>
      </c>
      <c r="C22" s="27">
        <f>IFERROR(LARGE('[1]Student Data'!H3:H22,2),"")</f>
        <v>464</v>
      </c>
    </row>
    <row r="23" spans="1:4" x14ac:dyDescent="0.3">
      <c r="A23" s="28" t="s">
        <v>57</v>
      </c>
      <c r="B23" s="29" t="str">
        <f>IFERROR(INDEX('[1]Student Data'!A3:A22,MATCH(LARGE('[1]Student Data'!H3:H22,3),'[1]Student Data'!H3:H22,0)),"")</f>
        <v>Priya Patel</v>
      </c>
      <c r="C23" s="30">
        <f>IFERROR(LARGE('[1]Student Data'!H3:H22,3),"")</f>
        <v>454</v>
      </c>
    </row>
    <row r="26" spans="1:4" ht="15" customHeight="1" x14ac:dyDescent="0.3">
      <c r="A26" s="18" t="s">
        <v>58</v>
      </c>
      <c r="B26" s="18"/>
      <c r="C26" s="18"/>
      <c r="D26" s="18"/>
    </row>
    <row r="27" spans="1:4" x14ac:dyDescent="0.3">
      <c r="A27" s="15" t="s">
        <v>35</v>
      </c>
      <c r="B27" s="20">
        <f>ROUND(AVERAGE('[1]Student Data'!C3:C22),1)</f>
        <v>71.7</v>
      </c>
    </row>
    <row r="28" spans="1:4" x14ac:dyDescent="0.3">
      <c r="A28" s="15" t="s">
        <v>4</v>
      </c>
      <c r="B28" s="20">
        <f>ROUND(AVERAGE('[1]Student Data'!D3:D22),1)</f>
        <v>71.5</v>
      </c>
    </row>
    <row r="29" spans="1:4" x14ac:dyDescent="0.3">
      <c r="A29" s="15" t="s">
        <v>5</v>
      </c>
      <c r="B29" s="20">
        <f>ROUND(AVERAGE('[1]Student Data'!E3:E22),1)</f>
        <v>72</v>
      </c>
    </row>
    <row r="30" spans="1:4" x14ac:dyDescent="0.3">
      <c r="A30" s="15" t="s">
        <v>6</v>
      </c>
      <c r="B30" s="20">
        <f>ROUND(AVERAGE('[1]Student Data'!F3:F22),1)</f>
        <v>70.2</v>
      </c>
    </row>
    <row r="31" spans="1:4" x14ac:dyDescent="0.3">
      <c r="A31" s="15" t="s">
        <v>7</v>
      </c>
      <c r="B31" s="20">
        <f>ROUND(AVERAGE('[1]Student Data'!G3:G22),1)</f>
        <v>74.3</v>
      </c>
    </row>
  </sheetData>
  <mergeCells count="5">
    <mergeCell ref="A1:H1"/>
    <mergeCell ref="A3:D3"/>
    <mergeCell ref="A12:D12"/>
    <mergeCell ref="A20:D20"/>
    <mergeCell ref="A26:D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Student Search</vt:lpstr>
      <vt:lpstr>Student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2026-04-05T02:53:50Z</dcterms:modified>
</cp:coreProperties>
</file>